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Users\AfB\Downloads\"/>
    </mc:Choice>
  </mc:AlternateContent>
  <xr:revisionPtr revIDLastSave="0" documentId="13_ncr:1_{692975C8-AA3A-4106-A749-0AE5AB44D010}" xr6:coauthVersionLast="47" xr6:coauthVersionMax="47" xr10:uidLastSave="{00000000-0000-0000-0000-000000000000}"/>
  <bookViews>
    <workbookView xWindow="-120" yWindow="-120" windowWidth="38640" windowHeight="15720" xr2:uid="{00000000-000D-0000-FFFF-FFFF00000000}"/>
  </bookViews>
  <sheets>
    <sheet name="Chantier_sous-traitan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00" i="1" l="1"/>
  <c r="H99" i="1"/>
  <c r="H98" i="1"/>
  <c r="H97" i="1"/>
  <c r="H96" i="1"/>
  <c r="H95" i="1"/>
  <c r="H93" i="1"/>
  <c r="H92" i="1"/>
  <c r="H91" i="1"/>
  <c r="H90" i="1"/>
  <c r="H89" i="1"/>
  <c r="H88" i="1"/>
  <c r="H87" i="1"/>
  <c r="H86" i="1"/>
  <c r="H85" i="1"/>
  <c r="H84" i="1"/>
  <c r="H83" i="1"/>
  <c r="H82" i="1"/>
  <c r="H80" i="1"/>
  <c r="H79" i="1"/>
  <c r="H78" i="1"/>
  <c r="H77" i="1"/>
  <c r="H76" i="1"/>
  <c r="H75" i="1"/>
  <c r="H74" i="1"/>
  <c r="H73" i="1"/>
  <c r="H72" i="1"/>
  <c r="H71" i="1"/>
  <c r="H70" i="1"/>
  <c r="H68" i="1"/>
  <c r="H66" i="1"/>
  <c r="H65" i="1"/>
  <c r="H63" i="1"/>
  <c r="H62" i="1"/>
  <c r="H60" i="1"/>
  <c r="H59" i="1"/>
  <c r="H57" i="1"/>
  <c r="H56" i="1"/>
  <c r="H54" i="1"/>
  <c r="H53" i="1"/>
  <c r="H52" i="1"/>
  <c r="H51" i="1"/>
  <c r="H49" i="1"/>
  <c r="H48" i="1"/>
  <c r="H47" i="1"/>
  <c r="H46" i="1"/>
  <c r="H44" i="1"/>
  <c r="H43" i="1"/>
  <c r="H42" i="1"/>
  <c r="H41" i="1"/>
  <c r="H39" i="1"/>
  <c r="H38" i="1"/>
  <c r="H37" i="1"/>
  <c r="H36" i="1"/>
  <c r="H35" i="1"/>
  <c r="H34" i="1"/>
  <c r="H33" i="1"/>
  <c r="H32" i="1"/>
  <c r="H29" i="1"/>
  <c r="H28" i="1"/>
  <c r="H27" i="1"/>
  <c r="H26" i="1"/>
  <c r="H25" i="1"/>
  <c r="H24" i="1"/>
  <c r="H23" i="1"/>
  <c r="H22" i="1"/>
  <c r="H21" i="1"/>
  <c r="H19" i="1"/>
  <c r="H17" i="1"/>
  <c r="H14" i="1"/>
  <c r="H13" i="1"/>
  <c r="H12" i="1"/>
  <c r="H11" i="1"/>
  <c r="H10" i="1"/>
  <c r="H9" i="1"/>
  <c r="H8" i="1"/>
  <c r="H6" i="1"/>
  <c r="H5" i="1"/>
  <c r="H4" i="1"/>
  <c r="H3" i="1"/>
</calcChain>
</file>

<file path=xl/sharedStrings.xml><?xml version="1.0" encoding="utf-8"?>
<sst xmlns="http://schemas.openxmlformats.org/spreadsheetml/2006/main" count="419" uniqueCount="175">
  <si>
    <t>Format</t>
  </si>
  <si>
    <t>Référence</t>
  </si>
  <si>
    <t>Description</t>
  </si>
  <si>
    <t>Quantite</t>
  </si>
  <si>
    <t>TM</t>
  </si>
  <si>
    <t>Unite</t>
  </si>
  <si>
    <t>Prix Uni</t>
  </si>
  <si>
    <t>Prix Total</t>
  </si>
  <si>
    <t>Commentaire</t>
  </si>
  <si>
    <t>T</t>
  </si>
  <si>
    <t>1</t>
  </si>
  <si>
    <t>COUVERTURE</t>
  </si>
  <si>
    <t/>
  </si>
  <si>
    <t>Charpente industrielle</t>
  </si>
  <si>
    <t>QF</t>
  </si>
  <si>
    <t>m²</t>
  </si>
  <si>
    <t>Ecran sous toiture</t>
  </si>
  <si>
    <t>Tuile</t>
  </si>
  <si>
    <t>Pointe cloueur (1 carton pour 200m2)</t>
  </si>
  <si>
    <t>unité</t>
  </si>
  <si>
    <t>2</t>
  </si>
  <si>
    <t>ZINGUERIE</t>
  </si>
  <si>
    <t>Gouttiere développé 33</t>
  </si>
  <si>
    <t>ml</t>
  </si>
  <si>
    <t>Tuyaux</t>
  </si>
  <si>
    <t>Crochet</t>
  </si>
  <si>
    <t>Collier</t>
  </si>
  <si>
    <t>Coude</t>
  </si>
  <si>
    <t>Naissance</t>
  </si>
  <si>
    <t>Talon agrafable</t>
  </si>
  <si>
    <t>3</t>
  </si>
  <si>
    <t>OSSATURE MÉTALLIQUE — SWEELCO</t>
  </si>
  <si>
    <t>S</t>
  </si>
  <si>
    <t>3.1</t>
  </si>
  <si>
    <t>Option 1 — 31 460,00 €</t>
  </si>
  <si>
    <t>Ossature acier profilé à froid - Surélévation</t>
  </si>
  <si>
    <t>Forfait</t>
  </si>
  <si>
    <t>Plans de montage / Etude de stabilité
Ossature acier profilé à froid - assemblée en panneaux 2D
Acier lourd (éléments en acier formés à chaud type IPE pour reprise des charges)
Assemblage en panneaux 2D
Transport par camion semi-remorque Tautliner (prix mis à jour selon date effective de livraison)
Acier de nuance S350GD, revêtu Magnelis® by ArcelorMittal®, en ZM250 ou ZM310
Vis autoforeuses nécessaires à l'assemblage des panneaux
Ensemble de la visserie et des pièces spécifiques de connexion pour le montage de la structure métallique
Profils spécifiques pour assemblages en baloon ou intersections de panneaux non orthogonaux
Ancrages aux fondations
Montage de l'ossature en 2D
Escalier d'accès au R+1
OSB3 sur murs, planchers et toiture NON inclus dans cette option</t>
  </si>
  <si>
    <t>4</t>
  </si>
  <si>
    <t>MONTAGE OSSATURE — DHC · SWEELCO</t>
  </si>
  <si>
    <t>Montage ossature métallique — 276 m² à 30 m²/jour</t>
  </si>
  <si>
    <t>Jour(s)</t>
  </si>
  <si>
    <t>MURS INT - RDC : 8 m² · PLANCHER - R+1 : 63 m² · MURS EXT - R+1 : 100 m² · FERMETTES - R+1 : 91 m² · TOITURE - R+1 : 15 m²</t>
  </si>
  <si>
    <t>5</t>
  </si>
  <si>
    <t>PLÂTRERIE-PEINTURE — MLD RENOVATION</t>
  </si>
  <si>
    <t>Doublage des murs : pose de plaque de plâtre sur ossature métallique avec isolation en laine de verre GR32 (fourniture des consommables inclus)</t>
  </si>
  <si>
    <t>Cloisons de séparation : pose de cloisons en plaques de plâtre sur ossature métallique de 48mm avec isolation en laine de verre (fourniture des consommables inclus)</t>
  </si>
  <si>
    <t>Plafond : pose de plaque de plâtre sur ossature métallique avec isolation en laine de verre (fourniture des consommables inclus)</t>
  </si>
  <si>
    <t>Pose des portes intérieures</t>
  </si>
  <si>
    <t>u</t>
  </si>
  <si>
    <t>Réalisation des joints, ponçage, application de la sous-couche, préparation pour la finition peinture</t>
  </si>
  <si>
    <t>Peinture murs</t>
  </si>
  <si>
    <t>Peinture plafond</t>
  </si>
  <si>
    <t>Sols, pose de parquet avec des plinthes (parquet et plinthes non fourni)</t>
  </si>
  <si>
    <t>Pose carrelage sol avec les consommables (carrelage non fourni)</t>
  </si>
  <si>
    <t>6</t>
  </si>
  <si>
    <t>ÉLECTRICITÉ — KM SERVICES</t>
  </si>
  <si>
    <t>6.1</t>
  </si>
  <si>
    <t>Salon, Cuisine</t>
  </si>
  <si>
    <t>Point lumineux central, simple allumage</t>
  </si>
  <si>
    <t>Gaine CT20/16, douille DCL, ampoule E27 LED 9W, boîte d'encastrement, fil 3x1,5mm², interrupteur va-et-vient, main d'œuvre</t>
  </si>
  <si>
    <t>Ligne Prise 16A (dont 2 doubles cuisine + 1 triple TV)</t>
  </si>
  <si>
    <t>Gaine CT20/16, boîte d'encastrement, fil 3x2,5mm², prise 2P+T, main d'œuvre</t>
  </si>
  <si>
    <t>Point lumineux applique, simple allumage</t>
  </si>
  <si>
    <t>resrve ligne fibre optique + prise optique</t>
  </si>
  <si>
    <t>Gaine CT20/16, boîte d'encastrement, kit pto fibre, main d'œuvre</t>
  </si>
  <si>
    <t>Ligne prise réseau RJ45</t>
  </si>
  <si>
    <t>Gaine CT20/16, boîte d'encastrement, câble CAT6 U/UTP, prise RJ45, main d'œuvre</t>
  </si>
  <si>
    <t>Ligne 32A</t>
  </si>
  <si>
    <t>Gaine CT20/16, boîte d'encastrement, fil 3x6mm², sortie de câble 32A, main d'œuvre</t>
  </si>
  <si>
    <t>Ligne Prise LV/FOUR/SL/LL</t>
  </si>
  <si>
    <t>Ligne volet roulant</t>
  </si>
  <si>
    <t>Gaine CT20/16, boîte d'encastrement, fil 3x1,5mm², sortie de câble/obturateur, main d'œuvre</t>
  </si>
  <si>
    <t>6.2</t>
  </si>
  <si>
    <t>Chambre 1, 2, 3</t>
  </si>
  <si>
    <t>Ligne Prise 16A</t>
  </si>
  <si>
    <t>6.3</t>
  </si>
  <si>
    <t>Bureau/Alcove</t>
  </si>
  <si>
    <t>6.4</t>
  </si>
  <si>
    <t>Salle de bain et WC</t>
  </si>
  <si>
    <t>Ligne Chauffage</t>
  </si>
  <si>
    <t>Goulotte PVC IBOCO/Hager + accessoires, fil 3x1,5mm², sortie de câble, main d'œuvre</t>
  </si>
  <si>
    <t>6.5</t>
  </si>
  <si>
    <t>Couloir</t>
  </si>
  <si>
    <t>Point lumineux central, va-et-vient</t>
  </si>
  <si>
    <t>6.6</t>
  </si>
  <si>
    <t>Buanderie</t>
  </si>
  <si>
    <t>6.7</t>
  </si>
  <si>
    <t>Divers</t>
  </si>
  <si>
    <t>Ligne pompe à chaleur air/air</t>
  </si>
  <si>
    <t>Gaine CT20/16, câble RO2V 3x2,5mm², main d'œuvre</t>
  </si>
  <si>
    <t>Ligne ECS (cumulus ou ballon thermodynamique)</t>
  </si>
  <si>
    <t>6.8</t>
  </si>
  <si>
    <t>Extérieur</t>
  </si>
  <si>
    <t>Gaine CT20/16, câble RO2V 3G1,5mm², interrupteur va-et-vient, main d'œuvre</t>
  </si>
  <si>
    <t>Gaine CT20/16, boîte d'encastrement, câble RO2V 3x2,5mm², prise 2P+T, main d'œuvre</t>
  </si>
  <si>
    <t>6.9</t>
  </si>
  <si>
    <t>VMC</t>
  </si>
  <si>
    <t>Ligne + fourniture et pose VMC</t>
  </si>
  <si>
    <t>Gaine CT20/16, kit VMC hygro Aldes/Atlantic, gaine D125+D80 isolée, fil 3x1,5mm², interrupteur poussoir, main d'œuvre</t>
  </si>
  <si>
    <t>6.10</t>
  </si>
  <si>
    <t>Tableau électrique</t>
  </si>
  <si>
    <t>Goulotte GTL pour tableau 13 modules</t>
  </si>
  <si>
    <t>Tableau électrique Legrand/Hager rangée 52 modules</t>
  </si>
  <si>
    <t>Parafoudre Legrand/Hager monophasé</t>
  </si>
  <si>
    <t>Support disjoncteur de branchement 13 modules</t>
  </si>
  <si>
    <t>Disjoncteur de branchement Hager/Legrand 60A instantané</t>
  </si>
  <si>
    <t>Différentiel Legrand/Hager 63A 30mA type A</t>
  </si>
  <si>
    <t>Disjoncteur Legrand/Hager 10/16/20/32A</t>
  </si>
  <si>
    <t>Peigne de raccordement disjoncteurs et différentiels</t>
  </si>
  <si>
    <t>Coffret de communication Legrand/Hager 8RJ45</t>
  </si>
  <si>
    <t>Main d'œuvre (pose et câblage tableau)</t>
  </si>
  <si>
    <t>Forfait passage Consuel</t>
  </si>
  <si>
    <t>7</t>
  </si>
  <si>
    <t>PLOMBERIE — LYON SUD ENERGIES</t>
  </si>
  <si>
    <t>Réalisation d'une évacuation en D100 en passant dans les doublages pour les 2 WC</t>
  </si>
  <si>
    <t>Réalisation de l'alimentation d'eau en tube PER D20 depuis le compteur</t>
  </si>
  <si>
    <t>Mise en place d'une vanne d'arrêt sur arrivée d'eau générale</t>
  </si>
  <si>
    <t>Fourniture + pose de deux pack WC suspendu (Grohe)</t>
  </si>
  <si>
    <t>Fourniture + pose d'un chauffe-eau thermodynamique de 200L (Atlantic)</t>
  </si>
  <si>
    <t>Fourniture + pose de deux bac à douche 90x90 en résine blanc</t>
  </si>
  <si>
    <t>Fourniture + pose de deux colonnes de douche chromé (Grohe)</t>
  </si>
  <si>
    <t>Fourniture + pose de deux parois de douche 90</t>
  </si>
  <si>
    <t>Réalisation des alimentations + évacuations des différents points d'eau (cuisine, douche, lave-main, lave-vaisselle)</t>
  </si>
  <si>
    <t>Fourniture + installation de deux meubles vasque 60cm blanc</t>
  </si>
  <si>
    <t>Fourniture + pose de deux mitigeurs de lave-main</t>
  </si>
  <si>
    <t>La tuyauterie, les fixations, la quincaillerie</t>
  </si>
  <si>
    <t>8</t>
  </si>
  <si>
    <t>PLÂTRERIE-PEINTURE — LYON SUD ENERGIES</t>
  </si>
  <si>
    <t>Cloison de 7 intérieurs placo + 50mm laine de verre</t>
  </si>
  <si>
    <t>Doublage murs extérieur placo + isolation 50mm laine de verre</t>
  </si>
  <si>
    <t>Cloison de 10 placo + isolation 100mm laine de verre</t>
  </si>
  <si>
    <t>Réalisation d'un faux plafond placo + isolation 100mm laine de verre</t>
  </si>
  <si>
    <t>Bande à joints + ponçage</t>
  </si>
  <si>
    <t>Application de sous couche + 2 couches de peinture acrylique velours (murs+plafonds)</t>
  </si>
  <si>
    <t xml:space="preserve">PO </t>
  </si>
  <si>
    <t>1.02</t>
  </si>
  <si>
    <t>1.03</t>
  </si>
  <si>
    <t>1.04</t>
  </si>
  <si>
    <t>2.2</t>
  </si>
  <si>
    <t>2.3</t>
  </si>
  <si>
    <t>2.4</t>
  </si>
  <si>
    <t>2.5</t>
  </si>
  <si>
    <t>2.6</t>
  </si>
  <si>
    <t>2.7</t>
  </si>
  <si>
    <t>4.1</t>
  </si>
  <si>
    <t>5.1</t>
  </si>
  <si>
    <t>5.9</t>
  </si>
  <si>
    <t>1.01</t>
  </si>
  <si>
    <t>2.1</t>
  </si>
  <si>
    <t>5.2</t>
  </si>
  <si>
    <t>5.3</t>
  </si>
  <si>
    <t>5.4</t>
  </si>
  <si>
    <t>5.5</t>
  </si>
  <si>
    <t>5.6</t>
  </si>
  <si>
    <t>5.7</t>
  </si>
  <si>
    <t>5.8</t>
  </si>
  <si>
    <t>7.1</t>
  </si>
  <si>
    <t>7.2</t>
  </si>
  <si>
    <t>7.3</t>
  </si>
  <si>
    <t>7.4</t>
  </si>
  <si>
    <t>7.5</t>
  </si>
  <si>
    <t>7.6</t>
  </si>
  <si>
    <t>7.7</t>
  </si>
  <si>
    <t>7.8</t>
  </si>
  <si>
    <t>7.9</t>
  </si>
  <si>
    <t>7.10</t>
  </si>
  <si>
    <t>7.11</t>
  </si>
  <si>
    <t>7.12</t>
  </si>
  <si>
    <t>8.2</t>
  </si>
  <si>
    <t>8.3</t>
  </si>
  <si>
    <t>8.4</t>
  </si>
  <si>
    <t>8.5</t>
  </si>
  <si>
    <t>8.6</t>
  </si>
  <si>
    <t>8.7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</si>
</sst>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 [$€-40C]_-;\-* #,##0.00\ [$€-40C]_-;_-* &quot;-&quot;??\ [$€-40C]_-;_-@_-"/>
  </numFmts>
  <fonts count="3" x14ac:knownFonts="1">
    <font>
      <sz val="12"/>
      <color theme="1"/>
      <name val="Calibri"/>
      <family val="2"/>
      <scheme val="minor"/>
    </font>
    <font>
      <sz val="10"/>
      <color rgb="FF000000"/>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xf numFmtId="0" fontId="1" fillId="0" borderId="0" xfId="0" applyFon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0"/>
  <sheetViews>
    <sheetView tabSelected="1" workbookViewId="0">
      <selection activeCell="J82" sqref="J82"/>
    </sheetView>
  </sheetViews>
  <sheetFormatPr baseColWidth="10" defaultRowHeight="15.75" x14ac:dyDescent="0.25"/>
  <cols>
    <col min="1" max="1" width="8.875" customWidth="1"/>
    <col min="2" max="2" width="10.875" customWidth="1"/>
    <col min="3" max="3" width="62.875" customWidth="1"/>
    <col min="4" max="4" width="10.875" customWidth="1"/>
    <col min="5" max="5" width="6.875" customWidth="1"/>
    <col min="6" max="6" width="10.875" customWidth="1"/>
    <col min="7" max="8" width="12.875" customWidth="1"/>
    <col min="9" max="9" width="48.875" customWidth="1"/>
  </cols>
  <sheetData>
    <row r="1" spans="1:9" x14ac:dyDescent="0.25">
      <c r="A1" t="s">
        <v>0</v>
      </c>
      <c r="B1" t="s">
        <v>1</v>
      </c>
      <c r="C1" t="s">
        <v>2</v>
      </c>
      <c r="D1" t="s">
        <v>3</v>
      </c>
      <c r="E1" t="s">
        <v>4</v>
      </c>
      <c r="F1" t="s">
        <v>5</v>
      </c>
      <c r="G1" t="s">
        <v>6</v>
      </c>
      <c r="H1" t="s">
        <v>7</v>
      </c>
      <c r="I1" t="s">
        <v>8</v>
      </c>
    </row>
    <row r="2" spans="1:9" x14ac:dyDescent="0.25">
      <c r="A2" t="s">
        <v>9</v>
      </c>
      <c r="B2" t="s">
        <v>10</v>
      </c>
      <c r="C2" t="s">
        <v>11</v>
      </c>
    </row>
    <row r="3" spans="1:9" x14ac:dyDescent="0.25">
      <c r="A3" s="2"/>
      <c r="B3" t="s">
        <v>148</v>
      </c>
      <c r="C3" t="s">
        <v>13</v>
      </c>
      <c r="D3">
        <v>100</v>
      </c>
      <c r="E3" t="s">
        <v>14</v>
      </c>
      <c r="F3" t="s">
        <v>15</v>
      </c>
      <c r="G3" s="1">
        <v>98.96</v>
      </c>
      <c r="H3" s="1">
        <f>D3*G3</f>
        <v>9896</v>
      </c>
    </row>
    <row r="4" spans="1:9" x14ac:dyDescent="0.25">
      <c r="A4" s="2"/>
      <c r="B4" t="s">
        <v>136</v>
      </c>
      <c r="C4" t="s">
        <v>16</v>
      </c>
      <c r="D4">
        <v>100</v>
      </c>
      <c r="E4" t="s">
        <v>14</v>
      </c>
      <c r="F4" t="s">
        <v>15</v>
      </c>
      <c r="G4" s="1">
        <v>7.1</v>
      </c>
      <c r="H4" s="1">
        <f>D4*G4</f>
        <v>710</v>
      </c>
    </row>
    <row r="5" spans="1:9" x14ac:dyDescent="0.25">
      <c r="A5" s="2"/>
      <c r="B5" t="s">
        <v>137</v>
      </c>
      <c r="C5" t="s">
        <v>17</v>
      </c>
      <c r="D5">
        <v>100</v>
      </c>
      <c r="E5" t="s">
        <v>14</v>
      </c>
      <c r="F5" t="s">
        <v>15</v>
      </c>
      <c r="G5" s="1">
        <v>67.760000000000005</v>
      </c>
      <c r="H5" s="1">
        <f>D5*G5</f>
        <v>6776.0000000000009</v>
      </c>
    </row>
    <row r="6" spans="1:9" x14ac:dyDescent="0.25">
      <c r="A6" s="2"/>
      <c r="B6" t="s">
        <v>138</v>
      </c>
      <c r="C6" t="s">
        <v>18</v>
      </c>
      <c r="D6">
        <v>1</v>
      </c>
      <c r="E6" t="s">
        <v>14</v>
      </c>
      <c r="F6" t="s">
        <v>19</v>
      </c>
      <c r="G6" s="1">
        <v>91</v>
      </c>
      <c r="H6" s="1">
        <f>D6*G6</f>
        <v>91</v>
      </c>
    </row>
    <row r="7" spans="1:9" x14ac:dyDescent="0.25">
      <c r="A7" t="s">
        <v>9</v>
      </c>
      <c r="B7" t="s">
        <v>20</v>
      </c>
      <c r="C7" t="s">
        <v>21</v>
      </c>
    </row>
    <row r="8" spans="1:9" x14ac:dyDescent="0.25">
      <c r="A8" s="2"/>
      <c r="B8" t="s">
        <v>149</v>
      </c>
      <c r="C8" t="s">
        <v>22</v>
      </c>
      <c r="D8">
        <v>20</v>
      </c>
      <c r="E8" t="s">
        <v>14</v>
      </c>
      <c r="F8" t="s">
        <v>23</v>
      </c>
      <c r="G8" s="1">
        <v>69.55</v>
      </c>
      <c r="H8" s="1">
        <f t="shared" ref="H8:H14" si="0">D8*G8</f>
        <v>1391</v>
      </c>
    </row>
    <row r="9" spans="1:9" x14ac:dyDescent="0.25">
      <c r="A9" s="2"/>
      <c r="B9" t="s">
        <v>139</v>
      </c>
      <c r="C9" t="s">
        <v>24</v>
      </c>
      <c r="D9">
        <v>16</v>
      </c>
      <c r="E9" t="s">
        <v>14</v>
      </c>
      <c r="F9" t="s">
        <v>23</v>
      </c>
      <c r="G9" s="1">
        <v>87.13</v>
      </c>
      <c r="H9" s="1">
        <f t="shared" si="0"/>
        <v>1394.08</v>
      </c>
    </row>
    <row r="10" spans="1:9" x14ac:dyDescent="0.25">
      <c r="A10" s="2"/>
      <c r="B10" t="s">
        <v>140</v>
      </c>
      <c r="C10" t="s">
        <v>25</v>
      </c>
      <c r="D10">
        <v>40</v>
      </c>
      <c r="E10" t="s">
        <v>14</v>
      </c>
      <c r="F10" t="s">
        <v>19</v>
      </c>
      <c r="G10" s="1">
        <v>0.96</v>
      </c>
      <c r="H10" s="1">
        <f t="shared" si="0"/>
        <v>38.4</v>
      </c>
    </row>
    <row r="11" spans="1:9" x14ac:dyDescent="0.25">
      <c r="A11" s="2"/>
      <c r="B11" t="s">
        <v>141</v>
      </c>
      <c r="C11" t="s">
        <v>26</v>
      </c>
      <c r="D11">
        <v>10</v>
      </c>
      <c r="E11" t="s">
        <v>14</v>
      </c>
      <c r="F11" t="s">
        <v>19</v>
      </c>
      <c r="G11" s="1">
        <v>1.43</v>
      </c>
      <c r="H11" s="1">
        <f t="shared" si="0"/>
        <v>14.299999999999999</v>
      </c>
    </row>
    <row r="12" spans="1:9" x14ac:dyDescent="0.25">
      <c r="A12" s="2"/>
      <c r="B12" t="s">
        <v>142</v>
      </c>
      <c r="C12" t="s">
        <v>27</v>
      </c>
      <c r="D12">
        <v>4</v>
      </c>
      <c r="E12" t="s">
        <v>14</v>
      </c>
      <c r="F12" t="s">
        <v>19</v>
      </c>
      <c r="G12" s="1">
        <v>6.06</v>
      </c>
      <c r="H12" s="1">
        <f t="shared" si="0"/>
        <v>24.24</v>
      </c>
    </row>
    <row r="13" spans="1:9" x14ac:dyDescent="0.25">
      <c r="A13" s="2"/>
      <c r="B13" t="s">
        <v>143</v>
      </c>
      <c r="C13" t="s">
        <v>28</v>
      </c>
      <c r="D13">
        <v>2</v>
      </c>
      <c r="E13" t="s">
        <v>14</v>
      </c>
      <c r="F13" t="s">
        <v>19</v>
      </c>
      <c r="G13" s="1">
        <v>12.83</v>
      </c>
      <c r="H13" s="1">
        <f t="shared" si="0"/>
        <v>25.66</v>
      </c>
    </row>
    <row r="14" spans="1:9" x14ac:dyDescent="0.25">
      <c r="A14" s="2"/>
      <c r="B14" t="s">
        <v>144</v>
      </c>
      <c r="C14" t="s">
        <v>29</v>
      </c>
      <c r="D14">
        <v>4</v>
      </c>
      <c r="E14" t="s">
        <v>14</v>
      </c>
      <c r="F14" t="s">
        <v>19</v>
      </c>
      <c r="G14" s="1">
        <v>2.72</v>
      </c>
      <c r="H14" s="1">
        <f t="shared" si="0"/>
        <v>10.88</v>
      </c>
    </row>
    <row r="15" spans="1:9" x14ac:dyDescent="0.25">
      <c r="A15" t="s">
        <v>9</v>
      </c>
      <c r="B15" t="s">
        <v>30</v>
      </c>
      <c r="C15" t="s">
        <v>31</v>
      </c>
    </row>
    <row r="16" spans="1:9" x14ac:dyDescent="0.25">
      <c r="A16" t="s">
        <v>32</v>
      </c>
      <c r="B16" t="s">
        <v>33</v>
      </c>
      <c r="C16" t="s">
        <v>34</v>
      </c>
    </row>
    <row r="17" spans="1:9" x14ac:dyDescent="0.25">
      <c r="A17" s="2"/>
      <c r="B17" t="s">
        <v>12</v>
      </c>
      <c r="C17" t="s">
        <v>35</v>
      </c>
      <c r="D17">
        <v>1</v>
      </c>
      <c r="E17" t="s">
        <v>14</v>
      </c>
      <c r="F17" t="s">
        <v>36</v>
      </c>
      <c r="G17" s="1">
        <v>40898</v>
      </c>
      <c r="H17" s="1">
        <f>D17*G17</f>
        <v>40898</v>
      </c>
      <c r="I17" t="s">
        <v>37</v>
      </c>
    </row>
    <row r="18" spans="1:9" x14ac:dyDescent="0.25">
      <c r="A18" t="s">
        <v>9</v>
      </c>
      <c r="B18" t="s">
        <v>38</v>
      </c>
      <c r="C18" t="s">
        <v>39</v>
      </c>
    </row>
    <row r="19" spans="1:9" x14ac:dyDescent="0.25">
      <c r="A19" s="2"/>
      <c r="B19" t="s">
        <v>145</v>
      </c>
      <c r="C19" t="s">
        <v>40</v>
      </c>
      <c r="D19">
        <v>9.5</v>
      </c>
      <c r="E19" t="s">
        <v>14</v>
      </c>
      <c r="F19" t="s">
        <v>41</v>
      </c>
      <c r="G19" s="1">
        <v>1177.8</v>
      </c>
      <c r="H19" s="1">
        <f>D19*G19</f>
        <v>11189.1</v>
      </c>
      <c r="I19" t="s">
        <v>42</v>
      </c>
    </row>
    <row r="20" spans="1:9" x14ac:dyDescent="0.25">
      <c r="A20" t="s">
        <v>9</v>
      </c>
      <c r="B20" t="s">
        <v>43</v>
      </c>
      <c r="C20" t="s">
        <v>44</v>
      </c>
    </row>
    <row r="21" spans="1:9" x14ac:dyDescent="0.25">
      <c r="A21" s="2"/>
      <c r="B21" t="s">
        <v>146</v>
      </c>
      <c r="C21" t="s">
        <v>45</v>
      </c>
      <c r="D21">
        <v>100</v>
      </c>
      <c r="E21" t="s">
        <v>14</v>
      </c>
      <c r="F21" t="s">
        <v>15</v>
      </c>
      <c r="G21" s="1">
        <v>71.5</v>
      </c>
      <c r="H21" s="1">
        <f t="shared" ref="H21:H29" si="1">D21*G21</f>
        <v>7150</v>
      </c>
    </row>
    <row r="22" spans="1:9" x14ac:dyDescent="0.25">
      <c r="A22" s="2"/>
      <c r="B22" t="s">
        <v>150</v>
      </c>
      <c r="C22" t="s">
        <v>46</v>
      </c>
      <c r="D22">
        <v>94</v>
      </c>
      <c r="E22" t="s">
        <v>14</v>
      </c>
      <c r="F22" t="s">
        <v>15</v>
      </c>
      <c r="G22" s="1">
        <v>84.5</v>
      </c>
      <c r="H22" s="1">
        <f t="shared" si="1"/>
        <v>7943</v>
      </c>
    </row>
    <row r="23" spans="1:9" x14ac:dyDescent="0.25">
      <c r="A23" s="2"/>
      <c r="B23" t="s">
        <v>151</v>
      </c>
      <c r="C23" t="s">
        <v>47</v>
      </c>
      <c r="D23">
        <v>104</v>
      </c>
      <c r="E23" t="s">
        <v>14</v>
      </c>
      <c r="F23" t="s">
        <v>15</v>
      </c>
      <c r="G23" s="1">
        <v>78</v>
      </c>
      <c r="H23" s="1">
        <f t="shared" si="1"/>
        <v>8112</v>
      </c>
    </row>
    <row r="24" spans="1:9" x14ac:dyDescent="0.25">
      <c r="A24" s="2"/>
      <c r="B24" t="s">
        <v>152</v>
      </c>
      <c r="C24" t="s">
        <v>48</v>
      </c>
      <c r="D24">
        <v>7</v>
      </c>
      <c r="E24" t="s">
        <v>14</v>
      </c>
      <c r="F24" t="s">
        <v>49</v>
      </c>
      <c r="G24" s="1">
        <v>65</v>
      </c>
      <c r="H24" s="1">
        <f t="shared" si="1"/>
        <v>455</v>
      </c>
    </row>
    <row r="25" spans="1:9" x14ac:dyDescent="0.25">
      <c r="A25" s="2"/>
      <c r="B25" t="s">
        <v>153</v>
      </c>
      <c r="C25" t="s">
        <v>50</v>
      </c>
      <c r="D25">
        <v>400</v>
      </c>
      <c r="E25" t="s">
        <v>14</v>
      </c>
      <c r="F25" t="s">
        <v>15</v>
      </c>
      <c r="G25" s="1">
        <v>29.9</v>
      </c>
      <c r="H25" s="1">
        <f t="shared" si="1"/>
        <v>11960</v>
      </c>
    </row>
    <row r="26" spans="1:9" x14ac:dyDescent="0.25">
      <c r="A26" s="2"/>
      <c r="B26" t="s">
        <v>154</v>
      </c>
      <c r="C26" t="s">
        <v>51</v>
      </c>
      <c r="D26">
        <v>300</v>
      </c>
      <c r="E26" t="s">
        <v>14</v>
      </c>
      <c r="F26" t="s">
        <v>15</v>
      </c>
      <c r="G26" s="1">
        <v>26</v>
      </c>
      <c r="H26" s="1">
        <f t="shared" si="1"/>
        <v>7800</v>
      </c>
    </row>
    <row r="27" spans="1:9" x14ac:dyDescent="0.25">
      <c r="A27" s="2"/>
      <c r="B27" t="s">
        <v>155</v>
      </c>
      <c r="C27" t="s">
        <v>52</v>
      </c>
      <c r="D27">
        <v>104</v>
      </c>
      <c r="E27" t="s">
        <v>14</v>
      </c>
      <c r="F27" t="s">
        <v>15</v>
      </c>
      <c r="G27" s="1">
        <v>28.6</v>
      </c>
      <c r="H27" s="1">
        <f t="shared" si="1"/>
        <v>2974.4</v>
      </c>
    </row>
    <row r="28" spans="1:9" x14ac:dyDescent="0.25">
      <c r="A28" s="2"/>
      <c r="B28" t="s">
        <v>156</v>
      </c>
      <c r="C28" t="s">
        <v>53</v>
      </c>
      <c r="D28">
        <v>85</v>
      </c>
      <c r="E28" t="s">
        <v>14</v>
      </c>
      <c r="F28" t="s">
        <v>15</v>
      </c>
      <c r="G28" s="1">
        <v>39</v>
      </c>
      <c r="H28" s="1">
        <f t="shared" si="1"/>
        <v>3315</v>
      </c>
    </row>
    <row r="29" spans="1:9" x14ac:dyDescent="0.25">
      <c r="A29" s="2"/>
      <c r="B29" t="s">
        <v>147</v>
      </c>
      <c r="C29" t="s">
        <v>54</v>
      </c>
      <c r="D29">
        <v>15</v>
      </c>
      <c r="E29" t="s">
        <v>14</v>
      </c>
      <c r="F29" t="s">
        <v>15</v>
      </c>
      <c r="G29" s="1">
        <v>58.5</v>
      </c>
      <c r="H29" s="1">
        <f t="shared" si="1"/>
        <v>877.5</v>
      </c>
    </row>
    <row r="30" spans="1:9" x14ac:dyDescent="0.25">
      <c r="A30" t="s">
        <v>9</v>
      </c>
      <c r="B30" t="s">
        <v>55</v>
      </c>
      <c r="C30" t="s">
        <v>56</v>
      </c>
    </row>
    <row r="31" spans="1:9" x14ac:dyDescent="0.25">
      <c r="A31" t="s">
        <v>32</v>
      </c>
      <c r="B31" t="s">
        <v>57</v>
      </c>
      <c r="C31" t="s">
        <v>58</v>
      </c>
    </row>
    <row r="32" spans="1:9" x14ac:dyDescent="0.25">
      <c r="A32" s="2"/>
      <c r="B32" t="s">
        <v>12</v>
      </c>
      <c r="C32" t="s">
        <v>59</v>
      </c>
      <c r="D32">
        <v>2</v>
      </c>
      <c r="E32" t="s">
        <v>14</v>
      </c>
      <c r="F32" t="s">
        <v>49</v>
      </c>
      <c r="G32" s="1">
        <v>162.5</v>
      </c>
      <c r="H32" s="1">
        <f t="shared" ref="H32:H39" si="2">D32*G32</f>
        <v>325</v>
      </c>
      <c r="I32" t="s">
        <v>60</v>
      </c>
    </row>
    <row r="33" spans="1:9" x14ac:dyDescent="0.25">
      <c r="A33" s="2"/>
      <c r="B33" t="s">
        <v>12</v>
      </c>
      <c r="C33" t="s">
        <v>61</v>
      </c>
      <c r="D33">
        <v>14</v>
      </c>
      <c r="E33" t="s">
        <v>14</v>
      </c>
      <c r="F33" t="s">
        <v>49</v>
      </c>
      <c r="G33" s="1">
        <v>117</v>
      </c>
      <c r="H33" s="1">
        <f t="shared" si="2"/>
        <v>1638</v>
      </c>
      <c r="I33" t="s">
        <v>62</v>
      </c>
    </row>
    <row r="34" spans="1:9" x14ac:dyDescent="0.25">
      <c r="A34" s="2"/>
      <c r="B34" t="s">
        <v>12</v>
      </c>
      <c r="C34" t="s">
        <v>63</v>
      </c>
      <c r="D34">
        <v>1</v>
      </c>
      <c r="E34" t="s">
        <v>14</v>
      </c>
      <c r="F34" t="s">
        <v>49</v>
      </c>
      <c r="G34" s="1">
        <v>143</v>
      </c>
      <c r="H34" s="1">
        <f t="shared" si="2"/>
        <v>143</v>
      </c>
      <c r="I34" t="s">
        <v>60</v>
      </c>
    </row>
    <row r="35" spans="1:9" x14ac:dyDescent="0.25">
      <c r="A35" s="2"/>
      <c r="B35" t="s">
        <v>12</v>
      </c>
      <c r="C35" t="s">
        <v>64</v>
      </c>
      <c r="D35">
        <v>1</v>
      </c>
      <c r="E35" t="s">
        <v>14</v>
      </c>
      <c r="F35" t="s">
        <v>49</v>
      </c>
      <c r="G35" s="1">
        <v>123.5</v>
      </c>
      <c r="H35" s="1">
        <f t="shared" si="2"/>
        <v>123.5</v>
      </c>
      <c r="I35" t="s">
        <v>65</v>
      </c>
    </row>
    <row r="36" spans="1:9" x14ac:dyDescent="0.25">
      <c r="A36" s="2"/>
      <c r="B36" t="s">
        <v>12</v>
      </c>
      <c r="C36" t="s">
        <v>66</v>
      </c>
      <c r="D36">
        <v>1</v>
      </c>
      <c r="E36" t="s">
        <v>14</v>
      </c>
      <c r="F36" t="s">
        <v>49</v>
      </c>
      <c r="G36" s="1">
        <v>123.5</v>
      </c>
      <c r="H36" s="1">
        <f t="shared" si="2"/>
        <v>123.5</v>
      </c>
      <c r="I36" t="s">
        <v>67</v>
      </c>
    </row>
    <row r="37" spans="1:9" x14ac:dyDescent="0.25">
      <c r="A37" s="2"/>
      <c r="B37" t="s">
        <v>12</v>
      </c>
      <c r="C37" t="s">
        <v>68</v>
      </c>
      <c r="D37">
        <v>1</v>
      </c>
      <c r="E37" t="s">
        <v>14</v>
      </c>
      <c r="F37" t="s">
        <v>49</v>
      </c>
      <c r="G37" s="1">
        <v>169</v>
      </c>
      <c r="H37" s="1">
        <f t="shared" si="2"/>
        <v>169</v>
      </c>
      <c r="I37" t="s">
        <v>69</v>
      </c>
    </row>
    <row r="38" spans="1:9" x14ac:dyDescent="0.25">
      <c r="A38" s="2"/>
      <c r="B38" t="s">
        <v>12</v>
      </c>
      <c r="C38" t="s">
        <v>70</v>
      </c>
      <c r="D38">
        <v>3</v>
      </c>
      <c r="E38" t="s">
        <v>14</v>
      </c>
      <c r="F38" t="s">
        <v>49</v>
      </c>
      <c r="G38" s="1">
        <v>130</v>
      </c>
      <c r="H38" s="1">
        <f t="shared" si="2"/>
        <v>390</v>
      </c>
      <c r="I38" t="s">
        <v>62</v>
      </c>
    </row>
    <row r="39" spans="1:9" x14ac:dyDescent="0.25">
      <c r="A39" s="2"/>
      <c r="B39" t="s">
        <v>12</v>
      </c>
      <c r="C39" t="s">
        <v>71</v>
      </c>
      <c r="D39">
        <v>3</v>
      </c>
      <c r="E39" t="s">
        <v>14</v>
      </c>
      <c r="F39" t="s">
        <v>49</v>
      </c>
      <c r="G39" s="1">
        <v>110.5</v>
      </c>
      <c r="H39" s="1">
        <f t="shared" si="2"/>
        <v>331.5</v>
      </c>
      <c r="I39" t="s">
        <v>72</v>
      </c>
    </row>
    <row r="40" spans="1:9" x14ac:dyDescent="0.25">
      <c r="A40" t="s">
        <v>32</v>
      </c>
      <c r="B40" t="s">
        <v>73</v>
      </c>
      <c r="C40" t="s">
        <v>74</v>
      </c>
    </row>
    <row r="41" spans="1:9" x14ac:dyDescent="0.25">
      <c r="A41" s="2"/>
      <c r="B41" t="s">
        <v>12</v>
      </c>
      <c r="C41" t="s">
        <v>59</v>
      </c>
      <c r="D41">
        <v>3</v>
      </c>
      <c r="E41" t="s">
        <v>14</v>
      </c>
      <c r="F41" t="s">
        <v>49</v>
      </c>
      <c r="G41" s="1">
        <v>162.5</v>
      </c>
      <c r="H41" s="1">
        <f>D41*G41</f>
        <v>487.5</v>
      </c>
      <c r="I41" t="s">
        <v>60</v>
      </c>
    </row>
    <row r="42" spans="1:9" x14ac:dyDescent="0.25">
      <c r="A42" s="2"/>
      <c r="B42" t="s">
        <v>12</v>
      </c>
      <c r="C42" t="s">
        <v>75</v>
      </c>
      <c r="D42">
        <v>10</v>
      </c>
      <c r="E42" t="s">
        <v>14</v>
      </c>
      <c r="F42" t="s">
        <v>49</v>
      </c>
      <c r="G42" s="1">
        <v>117</v>
      </c>
      <c r="H42" s="1">
        <f>D42*G42</f>
        <v>1170</v>
      </c>
      <c r="I42" t="s">
        <v>62</v>
      </c>
    </row>
    <row r="43" spans="1:9" x14ac:dyDescent="0.25">
      <c r="A43" s="2"/>
      <c r="B43" t="s">
        <v>12</v>
      </c>
      <c r="C43" t="s">
        <v>66</v>
      </c>
      <c r="D43">
        <v>3</v>
      </c>
      <c r="E43" t="s">
        <v>14</v>
      </c>
      <c r="F43" t="s">
        <v>49</v>
      </c>
      <c r="G43" s="1">
        <v>123.5</v>
      </c>
      <c r="H43" s="1">
        <f>D43*G43</f>
        <v>370.5</v>
      </c>
      <c r="I43" t="s">
        <v>67</v>
      </c>
    </row>
    <row r="44" spans="1:9" x14ac:dyDescent="0.25">
      <c r="A44" s="2"/>
      <c r="B44" t="s">
        <v>12</v>
      </c>
      <c r="C44" t="s">
        <v>71</v>
      </c>
      <c r="D44">
        <v>4</v>
      </c>
      <c r="E44" t="s">
        <v>14</v>
      </c>
      <c r="F44" t="s">
        <v>49</v>
      </c>
      <c r="G44" s="1">
        <v>110.5</v>
      </c>
      <c r="H44" s="1">
        <f>D44*G44</f>
        <v>442</v>
      </c>
      <c r="I44" t="s">
        <v>72</v>
      </c>
    </row>
    <row r="45" spans="1:9" x14ac:dyDescent="0.25">
      <c r="A45" t="s">
        <v>32</v>
      </c>
      <c r="B45" t="s">
        <v>76</v>
      </c>
      <c r="C45" t="s">
        <v>77</v>
      </c>
    </row>
    <row r="46" spans="1:9" x14ac:dyDescent="0.25">
      <c r="A46" s="2"/>
      <c r="B46" t="s">
        <v>12</v>
      </c>
      <c r="C46" t="s">
        <v>59</v>
      </c>
      <c r="D46">
        <v>1</v>
      </c>
      <c r="E46" t="s">
        <v>14</v>
      </c>
      <c r="F46" t="s">
        <v>49</v>
      </c>
      <c r="G46" s="1">
        <v>162.5</v>
      </c>
      <c r="H46" s="1">
        <f>D46*G46</f>
        <v>162.5</v>
      </c>
      <c r="I46" t="s">
        <v>60</v>
      </c>
    </row>
    <row r="47" spans="1:9" x14ac:dyDescent="0.25">
      <c r="A47" s="2"/>
      <c r="B47" t="s">
        <v>12</v>
      </c>
      <c r="C47" t="s">
        <v>75</v>
      </c>
      <c r="D47">
        <v>3</v>
      </c>
      <c r="E47" t="s">
        <v>14</v>
      </c>
      <c r="F47" t="s">
        <v>49</v>
      </c>
      <c r="G47" s="1">
        <v>117</v>
      </c>
      <c r="H47" s="1">
        <f>D47*G47</f>
        <v>351</v>
      </c>
      <c r="I47" t="s">
        <v>62</v>
      </c>
    </row>
    <row r="48" spans="1:9" x14ac:dyDescent="0.25">
      <c r="A48" s="2"/>
      <c r="B48" t="s">
        <v>12</v>
      </c>
      <c r="C48" t="s">
        <v>66</v>
      </c>
      <c r="D48">
        <v>1</v>
      </c>
      <c r="E48" t="s">
        <v>14</v>
      </c>
      <c r="F48" t="s">
        <v>49</v>
      </c>
      <c r="G48" s="1">
        <v>123.5</v>
      </c>
      <c r="H48" s="1">
        <f>D48*G48</f>
        <v>123.5</v>
      </c>
      <c r="I48" t="s">
        <v>67</v>
      </c>
    </row>
    <row r="49" spans="1:9" x14ac:dyDescent="0.25">
      <c r="A49" s="2"/>
      <c r="B49" t="s">
        <v>12</v>
      </c>
      <c r="C49" t="s">
        <v>71</v>
      </c>
      <c r="D49">
        <v>1</v>
      </c>
      <c r="E49" t="s">
        <v>14</v>
      </c>
      <c r="F49" t="s">
        <v>49</v>
      </c>
      <c r="G49" s="1">
        <v>110.5</v>
      </c>
      <c r="H49" s="1">
        <f>D49*G49</f>
        <v>110.5</v>
      </c>
      <c r="I49" t="s">
        <v>72</v>
      </c>
    </row>
    <row r="50" spans="1:9" x14ac:dyDescent="0.25">
      <c r="A50" t="s">
        <v>32</v>
      </c>
      <c r="B50" t="s">
        <v>78</v>
      </c>
      <c r="C50" t="s">
        <v>79</v>
      </c>
    </row>
    <row r="51" spans="1:9" x14ac:dyDescent="0.25">
      <c r="A51" s="2"/>
      <c r="B51" t="s">
        <v>12</v>
      </c>
      <c r="C51" t="s">
        <v>59</v>
      </c>
      <c r="D51">
        <v>2</v>
      </c>
      <c r="E51" t="s">
        <v>14</v>
      </c>
      <c r="F51" t="s">
        <v>49</v>
      </c>
      <c r="G51" s="1">
        <v>162.5</v>
      </c>
      <c r="H51" s="1">
        <f>D51*G51</f>
        <v>325</v>
      </c>
      <c r="I51" t="s">
        <v>60</v>
      </c>
    </row>
    <row r="52" spans="1:9" x14ac:dyDescent="0.25">
      <c r="A52" s="2"/>
      <c r="B52" t="s">
        <v>12</v>
      </c>
      <c r="C52" t="s">
        <v>63</v>
      </c>
      <c r="D52">
        <v>2</v>
      </c>
      <c r="E52" t="s">
        <v>14</v>
      </c>
      <c r="F52" t="s">
        <v>49</v>
      </c>
      <c r="G52" s="1">
        <v>143</v>
      </c>
      <c r="H52" s="1">
        <f>D52*G52</f>
        <v>286</v>
      </c>
      <c r="I52" t="s">
        <v>60</v>
      </c>
    </row>
    <row r="53" spans="1:9" x14ac:dyDescent="0.25">
      <c r="A53" s="2"/>
      <c r="B53" t="s">
        <v>12</v>
      </c>
      <c r="C53" t="s">
        <v>75</v>
      </c>
      <c r="D53">
        <v>2</v>
      </c>
      <c r="E53" t="s">
        <v>14</v>
      </c>
      <c r="F53" t="s">
        <v>49</v>
      </c>
      <c r="G53" s="1">
        <v>117</v>
      </c>
      <c r="H53" s="1">
        <f>D53*G53</f>
        <v>234</v>
      </c>
      <c r="I53" t="s">
        <v>62</v>
      </c>
    </row>
    <row r="54" spans="1:9" x14ac:dyDescent="0.25">
      <c r="A54" s="2"/>
      <c r="B54" t="s">
        <v>12</v>
      </c>
      <c r="C54" t="s">
        <v>80</v>
      </c>
      <c r="D54">
        <v>2</v>
      </c>
      <c r="E54" t="s">
        <v>14</v>
      </c>
      <c r="F54" t="s">
        <v>49</v>
      </c>
      <c r="G54" s="1">
        <v>110.5</v>
      </c>
      <c r="H54" s="1">
        <f>D54*G54</f>
        <v>221</v>
      </c>
      <c r="I54" t="s">
        <v>81</v>
      </c>
    </row>
    <row r="55" spans="1:9" x14ac:dyDescent="0.25">
      <c r="A55" t="s">
        <v>32</v>
      </c>
      <c r="B55" t="s">
        <v>82</v>
      </c>
      <c r="C55" t="s">
        <v>83</v>
      </c>
    </row>
    <row r="56" spans="1:9" x14ac:dyDescent="0.25">
      <c r="A56" s="2" t="s">
        <v>135</v>
      </c>
      <c r="B56" t="s">
        <v>12</v>
      </c>
      <c r="C56" t="s">
        <v>84</v>
      </c>
      <c r="D56">
        <v>3</v>
      </c>
      <c r="E56" t="s">
        <v>14</v>
      </c>
      <c r="F56" t="s">
        <v>49</v>
      </c>
      <c r="G56" s="1">
        <v>195</v>
      </c>
      <c r="H56" s="1">
        <f>D56*G56</f>
        <v>585</v>
      </c>
      <c r="I56" t="s">
        <v>60</v>
      </c>
    </row>
    <row r="57" spans="1:9" x14ac:dyDescent="0.25">
      <c r="A57" s="2" t="s">
        <v>135</v>
      </c>
      <c r="B57" t="s">
        <v>12</v>
      </c>
      <c r="C57" t="s">
        <v>75</v>
      </c>
      <c r="D57">
        <v>1</v>
      </c>
      <c r="E57" t="s">
        <v>14</v>
      </c>
      <c r="F57" t="s">
        <v>49</v>
      </c>
      <c r="G57" s="1">
        <v>117</v>
      </c>
      <c r="H57" s="1">
        <f>D57*G57</f>
        <v>117</v>
      </c>
      <c r="I57" t="s">
        <v>62</v>
      </c>
    </row>
    <row r="58" spans="1:9" x14ac:dyDescent="0.25">
      <c r="A58" t="s">
        <v>32</v>
      </c>
      <c r="B58" t="s">
        <v>85</v>
      </c>
      <c r="C58" t="s">
        <v>86</v>
      </c>
    </row>
    <row r="59" spans="1:9" x14ac:dyDescent="0.25">
      <c r="A59" s="2"/>
      <c r="B59" t="s">
        <v>12</v>
      </c>
      <c r="C59" t="s">
        <v>59</v>
      </c>
      <c r="D59">
        <v>1</v>
      </c>
      <c r="E59" t="s">
        <v>14</v>
      </c>
      <c r="F59" t="s">
        <v>49</v>
      </c>
      <c r="G59" s="1">
        <v>162.5</v>
      </c>
      <c r="H59" s="1">
        <f>D59*G59</f>
        <v>162.5</v>
      </c>
      <c r="I59" t="s">
        <v>60</v>
      </c>
    </row>
    <row r="60" spans="1:9" x14ac:dyDescent="0.25">
      <c r="A60" s="2"/>
      <c r="B60" t="s">
        <v>12</v>
      </c>
      <c r="C60" t="s">
        <v>70</v>
      </c>
      <c r="D60">
        <v>2</v>
      </c>
      <c r="E60" t="s">
        <v>14</v>
      </c>
      <c r="F60" t="s">
        <v>49</v>
      </c>
      <c r="G60" s="1">
        <v>130</v>
      </c>
      <c r="H60" s="1">
        <f>D60*G60</f>
        <v>260</v>
      </c>
      <c r="I60" t="s">
        <v>62</v>
      </c>
    </row>
    <row r="61" spans="1:9" x14ac:dyDescent="0.25">
      <c r="A61" t="s">
        <v>32</v>
      </c>
      <c r="B61" t="s">
        <v>87</v>
      </c>
      <c r="C61" t="s">
        <v>88</v>
      </c>
    </row>
    <row r="62" spans="1:9" x14ac:dyDescent="0.25">
      <c r="A62" s="2"/>
      <c r="B62" t="s">
        <v>12</v>
      </c>
      <c r="C62" t="s">
        <v>89</v>
      </c>
      <c r="D62">
        <v>1</v>
      </c>
      <c r="E62" t="s">
        <v>14</v>
      </c>
      <c r="F62" t="s">
        <v>49</v>
      </c>
      <c r="G62" s="1">
        <v>136.5</v>
      </c>
      <c r="H62" s="1">
        <f>D62*G62</f>
        <v>136.5</v>
      </c>
      <c r="I62" t="s">
        <v>90</v>
      </c>
    </row>
    <row r="63" spans="1:9" x14ac:dyDescent="0.25">
      <c r="A63" s="2"/>
      <c r="B63" t="s">
        <v>12</v>
      </c>
      <c r="C63" t="s">
        <v>91</v>
      </c>
      <c r="D63">
        <v>1</v>
      </c>
      <c r="E63" t="s">
        <v>14</v>
      </c>
      <c r="F63" t="s">
        <v>49</v>
      </c>
      <c r="G63" s="1">
        <v>136.5</v>
      </c>
      <c r="H63" s="1">
        <f>D63*G63</f>
        <v>136.5</v>
      </c>
      <c r="I63" t="s">
        <v>90</v>
      </c>
    </row>
    <row r="64" spans="1:9" x14ac:dyDescent="0.25">
      <c r="A64" t="s">
        <v>32</v>
      </c>
      <c r="B64" t="s">
        <v>92</v>
      </c>
      <c r="C64" t="s">
        <v>93</v>
      </c>
    </row>
    <row r="65" spans="1:9" x14ac:dyDescent="0.25">
      <c r="A65" s="2"/>
      <c r="B65" t="s">
        <v>12</v>
      </c>
      <c r="C65" t="s">
        <v>63</v>
      </c>
      <c r="D65">
        <v>5</v>
      </c>
      <c r="E65" t="s">
        <v>14</v>
      </c>
      <c r="F65" t="s">
        <v>49</v>
      </c>
      <c r="G65" s="1">
        <v>169</v>
      </c>
      <c r="H65" s="1">
        <f>D65*G65</f>
        <v>845</v>
      </c>
      <c r="I65" t="s">
        <v>94</v>
      </c>
    </row>
    <row r="66" spans="1:9" x14ac:dyDescent="0.25">
      <c r="A66" s="2"/>
      <c r="B66" t="s">
        <v>12</v>
      </c>
      <c r="C66" t="s">
        <v>75</v>
      </c>
      <c r="D66">
        <v>1</v>
      </c>
      <c r="E66" t="s">
        <v>14</v>
      </c>
      <c r="F66" t="s">
        <v>49</v>
      </c>
      <c r="G66" s="1">
        <v>130</v>
      </c>
      <c r="H66" s="1">
        <f>D66*G66</f>
        <v>130</v>
      </c>
      <c r="I66" t="s">
        <v>95</v>
      </c>
    </row>
    <row r="67" spans="1:9" x14ac:dyDescent="0.25">
      <c r="A67" t="s">
        <v>32</v>
      </c>
      <c r="B67" t="s">
        <v>96</v>
      </c>
      <c r="C67" t="s">
        <v>97</v>
      </c>
    </row>
    <row r="68" spans="1:9" x14ac:dyDescent="0.25">
      <c r="A68" s="2"/>
      <c r="B68" t="s">
        <v>12</v>
      </c>
      <c r="C68" t="s">
        <v>98</v>
      </c>
      <c r="D68">
        <v>1</v>
      </c>
      <c r="E68" t="s">
        <v>14</v>
      </c>
      <c r="F68" t="s">
        <v>49</v>
      </c>
      <c r="G68" s="1">
        <v>1170</v>
      </c>
      <c r="H68" s="1">
        <f>D68*G68</f>
        <v>1170</v>
      </c>
      <c r="I68" t="s">
        <v>99</v>
      </c>
    </row>
    <row r="69" spans="1:9" x14ac:dyDescent="0.25">
      <c r="A69" t="s">
        <v>32</v>
      </c>
      <c r="B69" t="s">
        <v>100</v>
      </c>
      <c r="C69" t="s">
        <v>101</v>
      </c>
    </row>
    <row r="70" spans="1:9" x14ac:dyDescent="0.25">
      <c r="A70" s="2"/>
      <c r="B70" t="s">
        <v>12</v>
      </c>
      <c r="C70" t="s">
        <v>102</v>
      </c>
      <c r="D70">
        <v>1</v>
      </c>
      <c r="E70" t="s">
        <v>14</v>
      </c>
      <c r="F70" t="s">
        <v>49</v>
      </c>
      <c r="G70" s="1">
        <v>143.26</v>
      </c>
      <c r="H70" s="1">
        <f t="shared" ref="H70:H80" si="3">D70*G70</f>
        <v>143.26</v>
      </c>
    </row>
    <row r="71" spans="1:9" x14ac:dyDescent="0.25">
      <c r="A71" s="2"/>
      <c r="B71" t="s">
        <v>12</v>
      </c>
      <c r="C71" t="s">
        <v>103</v>
      </c>
      <c r="D71">
        <v>1</v>
      </c>
      <c r="E71" t="s">
        <v>14</v>
      </c>
      <c r="F71" t="s">
        <v>49</v>
      </c>
      <c r="G71" s="1">
        <v>110.76</v>
      </c>
      <c r="H71" s="1">
        <f t="shared" si="3"/>
        <v>110.76</v>
      </c>
    </row>
    <row r="72" spans="1:9" x14ac:dyDescent="0.25">
      <c r="A72" s="2"/>
      <c r="B72" t="s">
        <v>12</v>
      </c>
      <c r="C72" t="s">
        <v>104</v>
      </c>
      <c r="D72">
        <v>1</v>
      </c>
      <c r="E72" t="s">
        <v>14</v>
      </c>
      <c r="F72" t="s">
        <v>49</v>
      </c>
      <c r="G72" s="1">
        <v>203.58</v>
      </c>
      <c r="H72" s="1">
        <f t="shared" si="3"/>
        <v>203.58</v>
      </c>
    </row>
    <row r="73" spans="1:9" x14ac:dyDescent="0.25">
      <c r="A73" s="2"/>
      <c r="B73" t="s">
        <v>12</v>
      </c>
      <c r="C73" t="s">
        <v>105</v>
      </c>
      <c r="D73">
        <v>1</v>
      </c>
      <c r="E73" t="s">
        <v>14</v>
      </c>
      <c r="F73" t="s">
        <v>49</v>
      </c>
      <c r="G73" s="1">
        <v>32.89</v>
      </c>
      <c r="H73" s="1">
        <f t="shared" si="3"/>
        <v>32.89</v>
      </c>
    </row>
    <row r="74" spans="1:9" x14ac:dyDescent="0.25">
      <c r="A74" s="2"/>
      <c r="B74" t="s">
        <v>12</v>
      </c>
      <c r="C74" t="s">
        <v>106</v>
      </c>
      <c r="D74">
        <v>1</v>
      </c>
      <c r="E74" t="s">
        <v>14</v>
      </c>
      <c r="F74" t="s">
        <v>49</v>
      </c>
      <c r="G74" s="1">
        <v>143.65</v>
      </c>
      <c r="H74" s="1">
        <f t="shared" si="3"/>
        <v>143.65</v>
      </c>
    </row>
    <row r="75" spans="1:9" x14ac:dyDescent="0.25">
      <c r="A75" s="2"/>
      <c r="B75" t="s">
        <v>12</v>
      </c>
      <c r="C75" t="s">
        <v>107</v>
      </c>
      <c r="D75">
        <v>4</v>
      </c>
      <c r="E75" t="s">
        <v>14</v>
      </c>
      <c r="F75" t="s">
        <v>49</v>
      </c>
      <c r="G75" s="1">
        <v>143.30000000000001</v>
      </c>
      <c r="H75" s="1">
        <f t="shared" si="3"/>
        <v>573.20000000000005</v>
      </c>
    </row>
    <row r="76" spans="1:9" x14ac:dyDescent="0.25">
      <c r="A76" s="2"/>
      <c r="B76" t="s">
        <v>12</v>
      </c>
      <c r="C76" t="s">
        <v>108</v>
      </c>
      <c r="D76">
        <v>20</v>
      </c>
      <c r="E76" t="s">
        <v>14</v>
      </c>
      <c r="F76" t="s">
        <v>49</v>
      </c>
      <c r="G76" s="1">
        <v>20.28</v>
      </c>
      <c r="H76" s="1">
        <f t="shared" si="3"/>
        <v>405.6</v>
      </c>
    </row>
    <row r="77" spans="1:9" x14ac:dyDescent="0.25">
      <c r="A77" s="2"/>
      <c r="B77" t="s">
        <v>12</v>
      </c>
      <c r="C77" t="s">
        <v>109</v>
      </c>
      <c r="D77">
        <v>1</v>
      </c>
      <c r="E77" t="s">
        <v>14</v>
      </c>
      <c r="F77" t="s">
        <v>49</v>
      </c>
      <c r="G77" s="1">
        <v>52</v>
      </c>
      <c r="H77" s="1">
        <f t="shared" si="3"/>
        <v>52</v>
      </c>
    </row>
    <row r="78" spans="1:9" x14ac:dyDescent="0.25">
      <c r="A78" s="2"/>
      <c r="B78" t="s">
        <v>12</v>
      </c>
      <c r="C78" t="s">
        <v>110</v>
      </c>
      <c r="D78">
        <v>1</v>
      </c>
      <c r="E78" t="s">
        <v>14</v>
      </c>
      <c r="F78" t="s">
        <v>49</v>
      </c>
      <c r="G78" s="1">
        <v>260</v>
      </c>
      <c r="H78" s="1">
        <f t="shared" si="3"/>
        <v>260</v>
      </c>
    </row>
    <row r="79" spans="1:9" x14ac:dyDescent="0.25">
      <c r="A79" s="2"/>
      <c r="B79" t="s">
        <v>12</v>
      </c>
      <c r="C79" t="s">
        <v>111</v>
      </c>
      <c r="D79">
        <v>1</v>
      </c>
      <c r="E79" t="s">
        <v>14</v>
      </c>
      <c r="F79" t="s">
        <v>49</v>
      </c>
      <c r="G79" s="1">
        <v>390</v>
      </c>
      <c r="H79" s="1">
        <f t="shared" si="3"/>
        <v>390</v>
      </c>
    </row>
    <row r="80" spans="1:9" x14ac:dyDescent="0.25">
      <c r="A80" s="2"/>
      <c r="B80" t="s">
        <v>12</v>
      </c>
      <c r="C80" t="s">
        <v>112</v>
      </c>
      <c r="D80">
        <v>1</v>
      </c>
      <c r="E80" t="s">
        <v>14</v>
      </c>
      <c r="F80" t="s">
        <v>49</v>
      </c>
      <c r="G80" s="1">
        <v>130</v>
      </c>
      <c r="H80" s="1">
        <f t="shared" si="3"/>
        <v>130</v>
      </c>
    </row>
    <row r="81" spans="1:8" x14ac:dyDescent="0.25">
      <c r="A81" t="s">
        <v>9</v>
      </c>
      <c r="B81" t="s">
        <v>113</v>
      </c>
      <c r="C81" t="s">
        <v>114</v>
      </c>
    </row>
    <row r="82" spans="1:8" x14ac:dyDescent="0.25">
      <c r="A82" s="2"/>
      <c r="B82" t="s">
        <v>157</v>
      </c>
      <c r="C82" t="s">
        <v>115</v>
      </c>
      <c r="D82">
        <v>1</v>
      </c>
      <c r="E82" t="s">
        <v>14</v>
      </c>
      <c r="F82" t="s">
        <v>36</v>
      </c>
      <c r="G82" s="1">
        <v>650</v>
      </c>
      <c r="H82" s="1">
        <f t="shared" ref="H82:H93" si="4">D82*G82</f>
        <v>650</v>
      </c>
    </row>
    <row r="83" spans="1:8" x14ac:dyDescent="0.25">
      <c r="A83" s="2"/>
      <c r="B83" t="s">
        <v>158</v>
      </c>
      <c r="C83" t="s">
        <v>116</v>
      </c>
      <c r="D83">
        <v>1</v>
      </c>
      <c r="E83" t="s">
        <v>14</v>
      </c>
      <c r="F83" t="s">
        <v>36</v>
      </c>
      <c r="G83" s="1">
        <v>520</v>
      </c>
      <c r="H83" s="1">
        <f t="shared" si="4"/>
        <v>520</v>
      </c>
    </row>
    <row r="84" spans="1:8" x14ac:dyDescent="0.25">
      <c r="A84" s="2"/>
      <c r="B84" t="s">
        <v>159</v>
      </c>
      <c r="C84" t="s">
        <v>117</v>
      </c>
      <c r="D84">
        <v>1</v>
      </c>
      <c r="E84" t="s">
        <v>14</v>
      </c>
      <c r="F84" t="s">
        <v>36</v>
      </c>
      <c r="G84" s="1">
        <v>65</v>
      </c>
      <c r="H84" s="1">
        <f t="shared" si="4"/>
        <v>65</v>
      </c>
    </row>
    <row r="85" spans="1:8" x14ac:dyDescent="0.25">
      <c r="A85" s="2"/>
      <c r="B85" t="s">
        <v>160</v>
      </c>
      <c r="C85" t="s">
        <v>118</v>
      </c>
      <c r="D85">
        <v>2</v>
      </c>
      <c r="E85" t="s">
        <v>14</v>
      </c>
      <c r="F85" t="s">
        <v>49</v>
      </c>
      <c r="G85" s="1">
        <v>1300</v>
      </c>
      <c r="H85" s="1">
        <f t="shared" si="4"/>
        <v>2600</v>
      </c>
    </row>
    <row r="86" spans="1:8" x14ac:dyDescent="0.25">
      <c r="A86" s="2"/>
      <c r="B86" t="s">
        <v>161</v>
      </c>
      <c r="C86" t="s">
        <v>119</v>
      </c>
      <c r="D86">
        <v>1</v>
      </c>
      <c r="E86" t="s">
        <v>14</v>
      </c>
      <c r="F86" t="s">
        <v>49</v>
      </c>
      <c r="G86" s="1">
        <v>2535</v>
      </c>
      <c r="H86" s="1">
        <f t="shared" si="4"/>
        <v>2535</v>
      </c>
    </row>
    <row r="87" spans="1:8" x14ac:dyDescent="0.25">
      <c r="A87" s="2"/>
      <c r="B87" t="s">
        <v>162</v>
      </c>
      <c r="C87" t="s">
        <v>120</v>
      </c>
      <c r="D87">
        <v>2</v>
      </c>
      <c r="E87" t="s">
        <v>14</v>
      </c>
      <c r="F87" t="s">
        <v>49</v>
      </c>
      <c r="G87" s="1">
        <v>780</v>
      </c>
      <c r="H87" s="1">
        <f t="shared" si="4"/>
        <v>1560</v>
      </c>
    </row>
    <row r="88" spans="1:8" x14ac:dyDescent="0.25">
      <c r="A88" s="2"/>
      <c r="B88" t="s">
        <v>163</v>
      </c>
      <c r="C88" t="s">
        <v>121</v>
      </c>
      <c r="D88">
        <v>2</v>
      </c>
      <c r="E88" t="s">
        <v>14</v>
      </c>
      <c r="F88" t="s">
        <v>49</v>
      </c>
      <c r="G88" s="1">
        <v>845</v>
      </c>
      <c r="H88" s="1">
        <f t="shared" si="4"/>
        <v>1690</v>
      </c>
    </row>
    <row r="89" spans="1:8" x14ac:dyDescent="0.25">
      <c r="A89" s="2"/>
      <c r="B89" t="s">
        <v>164</v>
      </c>
      <c r="C89" t="s">
        <v>122</v>
      </c>
      <c r="D89">
        <v>2</v>
      </c>
      <c r="E89" t="s">
        <v>14</v>
      </c>
      <c r="F89" t="s">
        <v>49</v>
      </c>
      <c r="G89" s="1">
        <v>552.5</v>
      </c>
      <c r="H89" s="1">
        <f t="shared" si="4"/>
        <v>1105</v>
      </c>
    </row>
    <row r="90" spans="1:8" x14ac:dyDescent="0.25">
      <c r="A90" s="2"/>
      <c r="B90" t="s">
        <v>165</v>
      </c>
      <c r="C90" t="s">
        <v>123</v>
      </c>
      <c r="D90">
        <v>1</v>
      </c>
      <c r="E90" t="s">
        <v>14</v>
      </c>
      <c r="F90" t="s">
        <v>36</v>
      </c>
      <c r="G90" s="1">
        <v>4004</v>
      </c>
      <c r="H90" s="1">
        <f t="shared" si="4"/>
        <v>4004</v>
      </c>
    </row>
    <row r="91" spans="1:8" x14ac:dyDescent="0.25">
      <c r="A91" s="2"/>
      <c r="B91" t="s">
        <v>166</v>
      </c>
      <c r="C91" t="s">
        <v>124</v>
      </c>
      <c r="D91">
        <v>2</v>
      </c>
      <c r="E91" t="s">
        <v>14</v>
      </c>
      <c r="F91" t="s">
        <v>49</v>
      </c>
      <c r="G91" s="1">
        <v>715</v>
      </c>
      <c r="H91" s="1">
        <f t="shared" si="4"/>
        <v>1430</v>
      </c>
    </row>
    <row r="92" spans="1:8" x14ac:dyDescent="0.25">
      <c r="A92" s="2"/>
      <c r="B92" t="s">
        <v>167</v>
      </c>
      <c r="C92" t="s">
        <v>125</v>
      </c>
      <c r="D92">
        <v>2</v>
      </c>
      <c r="E92" t="s">
        <v>14</v>
      </c>
      <c r="F92" t="s">
        <v>49</v>
      </c>
      <c r="G92" s="1">
        <v>195</v>
      </c>
      <c r="H92" s="1">
        <f t="shared" si="4"/>
        <v>390</v>
      </c>
    </row>
    <row r="93" spans="1:8" x14ac:dyDescent="0.25">
      <c r="A93" s="2"/>
      <c r="B93" t="s">
        <v>168</v>
      </c>
      <c r="C93" t="s">
        <v>126</v>
      </c>
      <c r="D93">
        <v>1</v>
      </c>
      <c r="E93" t="s">
        <v>14</v>
      </c>
      <c r="F93" t="s">
        <v>36</v>
      </c>
      <c r="G93" s="1">
        <v>715</v>
      </c>
      <c r="H93" s="1">
        <f t="shared" si="4"/>
        <v>715</v>
      </c>
    </row>
    <row r="94" spans="1:8" x14ac:dyDescent="0.25">
      <c r="A94" t="s">
        <v>9</v>
      </c>
      <c r="B94" t="s">
        <v>127</v>
      </c>
      <c r="C94" t="s">
        <v>128</v>
      </c>
    </row>
    <row r="95" spans="1:8" x14ac:dyDescent="0.25">
      <c r="A95" s="2"/>
      <c r="B95" t="s">
        <v>169</v>
      </c>
      <c r="C95" t="s">
        <v>129</v>
      </c>
      <c r="D95">
        <v>105</v>
      </c>
      <c r="E95" t="s">
        <v>14</v>
      </c>
      <c r="F95" t="s">
        <v>15</v>
      </c>
      <c r="G95" s="1">
        <v>65</v>
      </c>
      <c r="H95" s="1">
        <f t="shared" ref="H95:H100" si="5">D95*G95</f>
        <v>6825</v>
      </c>
    </row>
    <row r="96" spans="1:8" x14ac:dyDescent="0.25">
      <c r="A96" s="2"/>
      <c r="B96" t="s">
        <v>170</v>
      </c>
      <c r="C96" t="s">
        <v>130</v>
      </c>
      <c r="D96">
        <v>103</v>
      </c>
      <c r="E96" t="s">
        <v>14</v>
      </c>
      <c r="F96" t="s">
        <v>15</v>
      </c>
      <c r="G96" s="1">
        <v>58.5</v>
      </c>
      <c r="H96" s="1">
        <f t="shared" si="5"/>
        <v>6025.5</v>
      </c>
    </row>
    <row r="97" spans="1:8" x14ac:dyDescent="0.25">
      <c r="A97" s="2"/>
      <c r="B97" t="s">
        <v>171</v>
      </c>
      <c r="C97" t="s">
        <v>131</v>
      </c>
      <c r="D97">
        <v>65</v>
      </c>
      <c r="E97" t="s">
        <v>14</v>
      </c>
      <c r="F97" t="s">
        <v>15</v>
      </c>
      <c r="G97" s="1">
        <v>65</v>
      </c>
      <c r="H97" s="1">
        <f t="shared" si="5"/>
        <v>4225</v>
      </c>
    </row>
    <row r="98" spans="1:8" x14ac:dyDescent="0.25">
      <c r="A98" s="2"/>
      <c r="B98" t="s">
        <v>172</v>
      </c>
      <c r="C98" t="s">
        <v>132</v>
      </c>
      <c r="D98">
        <v>92</v>
      </c>
      <c r="E98" t="s">
        <v>14</v>
      </c>
      <c r="F98" t="s">
        <v>15</v>
      </c>
      <c r="G98" s="1">
        <v>76.7</v>
      </c>
      <c r="H98" s="1">
        <f t="shared" si="5"/>
        <v>7056.4000000000005</v>
      </c>
    </row>
    <row r="99" spans="1:8" x14ac:dyDescent="0.25">
      <c r="A99" s="2"/>
      <c r="B99" t="s">
        <v>173</v>
      </c>
      <c r="C99" t="s">
        <v>133</v>
      </c>
      <c r="D99">
        <v>365</v>
      </c>
      <c r="E99" t="s">
        <v>14</v>
      </c>
      <c r="F99" t="s">
        <v>15</v>
      </c>
      <c r="G99" s="1">
        <v>10.4</v>
      </c>
      <c r="H99" s="1">
        <f t="shared" si="5"/>
        <v>3796</v>
      </c>
    </row>
    <row r="100" spans="1:8" x14ac:dyDescent="0.25">
      <c r="A100" s="2"/>
      <c r="B100" t="s">
        <v>174</v>
      </c>
      <c r="C100" t="s">
        <v>134</v>
      </c>
      <c r="D100">
        <v>365</v>
      </c>
      <c r="E100" t="s">
        <v>14</v>
      </c>
      <c r="F100" t="s">
        <v>15</v>
      </c>
      <c r="G100" s="1">
        <v>23.4</v>
      </c>
      <c r="H100" s="1">
        <f t="shared" si="5"/>
        <v>8541</v>
      </c>
    </row>
  </sheetData>
  <phoneticPr fontId="2" type="noConversion"/>
  <pageMargins left="0.7" right="0.7" top="0.75" bottom="0.75" header="0.3" footer="0.3"/>
  <ignoredErrors>
    <ignoredError sqref="A1:I2 A7:I7 C3:I3 C4:I6 A15:I16 C8:I8 C9:I14 A18:I18 B17:I17 A20:I20 C19:I19 A30:I31 C21:I21 C22:I29 A40:I40 B32:I32 B33:I39 A45:I45 B41:I41 B42:I44 A50:I50 B46:I46 B47:I49 A55:I55 B51:I51 B52:I54 A58:I58 B56:I56 B57:I57 A61:I61 B59:I59 B60:I60 A64:I64 B62:I62 B63:I63 A67:I67 B65:I65 B66:I66 A69:I69 B68:I68 A81:I81 B70:I70 B71:I80 A94:I94 C82:I82 C83:I93 C96:I100 C95:I95"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Chantier_sous-traitants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Moussa Diallo</cp:lastModifiedBy>
  <dcterms:created xsi:type="dcterms:W3CDTF">2026-09-23T20:35:11Z</dcterms:created>
  <dcterms:modified xsi:type="dcterms:W3CDTF">2026-09-23T21:36:52Z</dcterms:modified>
</cp:coreProperties>
</file>